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1ec38101aef44b/Área de Trabalho/Cursos/Curso excell com ia Dio/Desafio de Projeto/"/>
    </mc:Choice>
  </mc:AlternateContent>
  <xr:revisionPtr revIDLastSave="350" documentId="8_{CAFD476F-6A0E-4594-A947-626324002921}" xr6:coauthVersionLast="47" xr6:coauthVersionMax="47" xr10:uidLastSave="{6E47B87B-DE53-48A5-A68F-484543CDA3E7}"/>
  <bookViews>
    <workbookView xWindow="-108" yWindow="-108" windowWidth="23256" windowHeight="12456" tabRatio="0" xr2:uid="{09FEF1C3-6B7B-4222-80BA-0208D909AFA6}"/>
  </bookViews>
  <sheets>
    <sheet name="Planilha1" sheetId="1" r:id="rId1"/>
    <sheet name="Tabela apoio" sheetId="2" r:id="rId2"/>
  </sheets>
  <definedNames>
    <definedName name="Aporte">Planilha1!$D$16</definedName>
    <definedName name="Patrimonio">Planilha1!$D$19</definedName>
    <definedName name="qtd_anos">Planilha1!$D$17</definedName>
    <definedName name="Rendimento_carteira">Planilha1!$D$11</definedName>
    <definedName name="Salario">Planilha1!$D$10</definedName>
    <definedName name="Sugestao_investimento">Planilha1!$D$12</definedName>
    <definedName name="Taxa_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A11" i="2"/>
  <c r="A12" i="2"/>
  <c r="A13" i="2"/>
  <c r="A14" i="2"/>
  <c r="A15" i="2"/>
  <c r="A16" i="2"/>
  <c r="A17" i="2"/>
  <c r="A18" i="2"/>
  <c r="A19" i="2"/>
  <c r="A20" i="2"/>
  <c r="A21" i="2"/>
  <c r="A22" i="2"/>
  <c r="A6" i="2"/>
  <c r="A7" i="2"/>
  <c r="A8" i="2"/>
  <c r="A9" i="2"/>
  <c r="A10" i="2"/>
  <c r="A5" i="2"/>
  <c r="C31" i="1"/>
  <c r="D19" i="1"/>
  <c r="D20" i="1" s="1"/>
  <c r="D12" i="1"/>
  <c r="C24" i="1"/>
  <c r="D24" i="1" s="1"/>
  <c r="C25" i="1"/>
  <c r="D25" i="1" s="1"/>
  <c r="C26" i="1"/>
  <c r="D26" i="1" s="1"/>
  <c r="C27" i="1"/>
  <c r="D27" i="1" s="1"/>
  <c r="C23" i="1"/>
  <c r="D23" i="1" s="1"/>
  <c r="D36" i="1" l="1"/>
  <c r="D37" i="1"/>
  <c r="D35" i="1"/>
  <c r="D34" i="1"/>
  <c r="D39" i="1"/>
  <c r="D38" i="1"/>
  <c r="D40" i="1" l="1"/>
</calcChain>
</file>

<file path=xl/sharedStrings.xml><?xml version="1.0" encoding="utf-8"?>
<sst xmlns="http://schemas.openxmlformats.org/spreadsheetml/2006/main" count="71" uniqueCount="36">
  <si>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</si>
  <si>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</si>
  <si>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</si>
  <si>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</si>
  <si>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</si>
  <si>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</si>
  <si>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</si>
  <si>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</si>
  <si>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</si>
  <si>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</si>
  <si>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</si>
  <si>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</si>
  <si>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</si>
  <si>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</si>
  <si>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</si>
  <si>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Rendimento em Carteira</t>
  </si>
  <si>
    <t>Conservador</t>
  </si>
  <si>
    <t>Valor a ser Investido por Mês</t>
  </si>
  <si>
    <t>PERFIL</t>
  </si>
  <si>
    <t>Percentual Sugerido</t>
  </si>
  <si>
    <t>Valores</t>
  </si>
  <si>
    <t>TIPOS DE FII</t>
  </si>
  <si>
    <t>Papel</t>
  </si>
  <si>
    <t>Tijolo</t>
  </si>
  <si>
    <t>Hibridos</t>
  </si>
  <si>
    <t>Fofs</t>
  </si>
  <si>
    <t>Desenvolvimento</t>
  </si>
  <si>
    <t>Hotelarias</t>
  </si>
  <si>
    <t>Total</t>
  </si>
  <si>
    <t>Chave</t>
  </si>
  <si>
    <t>Moderado</t>
  </si>
  <si>
    <t>Agressivo</t>
  </si>
  <si>
    <t>Tipos de Fiis</t>
  </si>
  <si>
    <t>%</t>
  </si>
  <si>
    <t>Sugestão de Investimento (30%)</t>
  </si>
  <si>
    <t>Patrimônio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</si>
</sst>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 tint="0.249977111117893"/>
      <name val="Arial"/>
      <family val="2"/>
    </font>
    <font>
      <sz val="12"/>
      <color theme="1" tint="0.249977111117893"/>
      <name val="Aptos Narrow"/>
      <family val="2"/>
      <scheme val="minor"/>
    </font>
    <font>
      <b/>
      <sz val="12"/>
      <color theme="1" tint="0.249977111117893"/>
      <name val="Aptos Narrow"/>
      <family val="2"/>
      <scheme val="minor"/>
    </font>
    <font>
      <b/>
      <sz val="12"/>
      <color theme="1" tint="0.249977111117893"/>
      <name val="Arial"/>
      <family val="2"/>
    </font>
    <font>
      <b/>
      <sz val="12"/>
      <color rgb="FF9C57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thin">
        <color theme="0" tint="-0.24994659260841701"/>
      </bottom>
      <diagonal/>
    </border>
    <border>
      <left/>
      <right/>
      <top style="medium">
        <color theme="1"/>
      </top>
      <bottom style="thin">
        <color theme="0" tint="-0.2499465926084170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theme="1"/>
      </right>
      <top/>
      <bottom style="hair">
        <color theme="0" tint="-0.24994659260841701"/>
      </bottom>
      <diagonal/>
    </border>
    <border>
      <left style="medium">
        <color theme="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theme="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theme="1"/>
      </left>
      <right style="hair">
        <color theme="0" tint="-0.24994659260841701"/>
      </right>
      <top style="hair">
        <color theme="0" tint="-0.24994659260841701"/>
      </top>
      <bottom style="medium">
        <color theme="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theme="1"/>
      </bottom>
      <diagonal/>
    </border>
    <border>
      <left style="hair">
        <color theme="0" tint="-0.24994659260841701"/>
      </left>
      <right style="medium">
        <color theme="1"/>
      </right>
      <top style="hair">
        <color theme="0" tint="-0.24994659260841701"/>
      </top>
      <bottom style="medium">
        <color theme="1"/>
      </bottom>
      <diagonal/>
    </border>
    <border>
      <left style="hair">
        <color theme="0" tint="-0.24994659260841701"/>
      </left>
      <right style="medium">
        <color theme="1"/>
      </right>
      <top style="thin">
        <color theme="0" tint="-0.24994659260841701"/>
      </top>
      <bottom style="hair">
        <color theme="0" tint="-0.24994659260841701"/>
      </bottom>
      <diagonal/>
    </border>
    <border>
      <left style="medium">
        <color theme="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theme="0" tint="-0.14999847407452621"/>
      </left>
      <right style="medium">
        <color theme="1"/>
      </right>
      <top style="medium">
        <color theme="1"/>
      </top>
      <bottom style="thin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57">
    <xf numFmtId="0" fontId="0" fillId="0" borderId="0" xfId="0"/>
    <xf numFmtId="0" fontId="5" fillId="3" borderId="1" xfId="3" applyFont="1" applyBorder="1" applyAlignment="1">
      <alignment horizontal="center" vertical="center"/>
    </xf>
    <xf numFmtId="0" fontId="4" fillId="0" borderId="0" xfId="0" applyFont="1"/>
    <xf numFmtId="164" fontId="8" fillId="0" borderId="8" xfId="1" applyNumberFormat="1" applyFont="1" applyBorder="1" applyAlignment="1">
      <alignment horizontal="center"/>
    </xf>
    <xf numFmtId="10" fontId="8" fillId="0" borderId="11" xfId="0" applyNumberFormat="1" applyFont="1" applyBorder="1" applyAlignment="1">
      <alignment horizontal="center"/>
    </xf>
    <xf numFmtId="164" fontId="8" fillId="7" borderId="14" xfId="0" applyNumberFormat="1" applyFont="1" applyFill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0" fontId="9" fillId="0" borderId="11" xfId="0" applyNumberFormat="1" applyFont="1" applyBorder="1" applyAlignment="1">
      <alignment horizontal="center"/>
    </xf>
    <xf numFmtId="164" fontId="9" fillId="4" borderId="11" xfId="0" applyNumberFormat="1" applyFont="1" applyFill="1" applyBorder="1" applyAlignment="1">
      <alignment horizontal="center"/>
    </xf>
    <xf numFmtId="164" fontId="9" fillId="4" borderId="14" xfId="0" applyNumberFormat="1" applyFont="1" applyFill="1" applyBorder="1" applyAlignment="1">
      <alignment horizontal="center"/>
    </xf>
    <xf numFmtId="164" fontId="8" fillId="5" borderId="17" xfId="0" applyNumberFormat="1" applyFont="1" applyFill="1" applyBorder="1" applyAlignment="1">
      <alignment horizontal="center"/>
    </xf>
    <xf numFmtId="164" fontId="8" fillId="5" borderId="15" xfId="0" applyNumberFormat="1" applyFont="1" applyFill="1" applyBorder="1" applyAlignment="1">
      <alignment horizontal="center"/>
    </xf>
    <xf numFmtId="164" fontId="8" fillId="5" borderId="10" xfId="0" applyNumberFormat="1" applyFont="1" applyFill="1" applyBorder="1" applyAlignment="1">
      <alignment horizontal="center"/>
    </xf>
    <xf numFmtId="164" fontId="8" fillId="5" borderId="11" xfId="0" applyNumberFormat="1" applyFont="1" applyFill="1" applyBorder="1" applyAlignment="1">
      <alignment horizontal="center"/>
    </xf>
    <xf numFmtId="164" fontId="8" fillId="5" borderId="13" xfId="0" applyNumberFormat="1" applyFont="1" applyFill="1" applyBorder="1" applyAlignment="1">
      <alignment horizontal="center"/>
    </xf>
    <xf numFmtId="164" fontId="8" fillId="5" borderId="14" xfId="0" applyNumberFormat="1" applyFont="1" applyFill="1" applyBorder="1" applyAlignment="1">
      <alignment horizontal="center"/>
    </xf>
    <xf numFmtId="0" fontId="7" fillId="5" borderId="16" xfId="0" applyFont="1" applyFill="1" applyBorder="1" applyAlignment="1">
      <alignment horizontal="left" indent="2"/>
    </xf>
    <xf numFmtId="0" fontId="7" fillId="5" borderId="9" xfId="0" applyFont="1" applyFill="1" applyBorder="1" applyAlignment="1">
      <alignment horizontal="left" indent="2"/>
    </xf>
    <xf numFmtId="0" fontId="7" fillId="5" borderId="12" xfId="0" applyFont="1" applyFill="1" applyBorder="1" applyAlignment="1">
      <alignment horizontal="left" indent="2"/>
    </xf>
    <xf numFmtId="0" fontId="6" fillId="3" borderId="18" xfId="3" applyFont="1" applyBorder="1" applyAlignment="1">
      <alignment horizontal="center" vertical="center"/>
    </xf>
    <xf numFmtId="0" fontId="2" fillId="2" borderId="0" xfId="2"/>
    <xf numFmtId="164" fontId="0" fillId="0" borderId="0" xfId="0" applyNumberFormat="1" applyAlignment="1">
      <alignment horizontal="center"/>
    </xf>
    <xf numFmtId="0" fontId="7" fillId="4" borderId="0" xfId="0" applyFont="1" applyFill="1" applyAlignment="1">
      <alignment horizontal="left" indent="2"/>
    </xf>
    <xf numFmtId="164" fontId="8" fillId="4" borderId="0" xfId="0" applyNumberFormat="1" applyFont="1" applyFill="1" applyAlignment="1">
      <alignment horizontal="center"/>
    </xf>
    <xf numFmtId="0" fontId="8" fillId="4" borderId="0" xfId="0" applyFont="1" applyFill="1"/>
    <xf numFmtId="0" fontId="11" fillId="2" borderId="0" xfId="2" applyFont="1" applyBorder="1" applyAlignment="1">
      <alignment horizontal="left" indent="2"/>
    </xf>
    <xf numFmtId="0" fontId="0" fillId="0" borderId="0" xfId="0" applyAlignment="1">
      <alignment horizontal="left" indent="2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164" fontId="3" fillId="8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left" indent="2"/>
    </xf>
    <xf numFmtId="0" fontId="3" fillId="8" borderId="0" xfId="0" applyFont="1" applyFill="1"/>
    <xf numFmtId="0" fontId="0" fillId="0" borderId="19" xfId="0" applyBorder="1"/>
    <xf numFmtId="0" fontId="0" fillId="0" borderId="19" xfId="0" applyBorder="1" applyAlignment="1">
      <alignment horizontal="left" indent="2"/>
    </xf>
    <xf numFmtId="9" fontId="0" fillId="0" borderId="19" xfId="0" applyNumberFormat="1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left" indent="2"/>
    </xf>
    <xf numFmtId="9" fontId="0" fillId="0" borderId="20" xfId="0" applyNumberFormat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6" fillId="3" borderId="2" xfId="3" applyFont="1" applyBorder="1" applyAlignment="1">
      <alignment horizontal="center" vertical="center"/>
    </xf>
    <xf numFmtId="0" fontId="7" fillId="7" borderId="6" xfId="0" applyFont="1" applyFill="1" applyBorder="1" applyAlignment="1">
      <alignment horizontal="left" indent="2"/>
    </xf>
    <xf numFmtId="0" fontId="7" fillId="7" borderId="7" xfId="0" applyFont="1" applyFill="1" applyBorder="1" applyAlignment="1">
      <alignment horizontal="left" indent="2"/>
    </xf>
    <xf numFmtId="0" fontId="7" fillId="7" borderId="9" xfId="0" applyFont="1" applyFill="1" applyBorder="1" applyAlignment="1">
      <alignment horizontal="left" indent="2"/>
    </xf>
    <xf numFmtId="0" fontId="7" fillId="7" borderId="10" xfId="0" applyFont="1" applyFill="1" applyBorder="1" applyAlignment="1">
      <alignment horizontal="left" indent="2"/>
    </xf>
    <xf numFmtId="0" fontId="7" fillId="7" borderId="12" xfId="0" applyFont="1" applyFill="1" applyBorder="1" applyAlignment="1">
      <alignment horizontal="left" indent="2"/>
    </xf>
    <xf numFmtId="0" fontId="7" fillId="7" borderId="13" xfId="0" applyFont="1" applyFill="1" applyBorder="1" applyAlignment="1">
      <alignment horizontal="left" indent="2"/>
    </xf>
    <xf numFmtId="0" fontId="5" fillId="6" borderId="3" xfId="3" applyFont="1" applyFill="1" applyBorder="1" applyAlignment="1">
      <alignment horizontal="center" vertical="center"/>
    </xf>
    <xf numFmtId="0" fontId="5" fillId="6" borderId="5" xfId="3" applyFont="1" applyFill="1" applyBorder="1" applyAlignment="1">
      <alignment horizontal="center" vertical="center"/>
    </xf>
    <xf numFmtId="0" fontId="5" fillId="6" borderId="4" xfId="3" applyFont="1" applyFill="1" applyBorder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5" fillId="3" borderId="5" xfId="3" applyFont="1" applyBorder="1" applyAlignment="1">
      <alignment horizontal="center" vertical="center"/>
    </xf>
    <xf numFmtId="0" fontId="5" fillId="3" borderId="4" xfId="3" applyFont="1" applyBorder="1" applyAlignment="1">
      <alignment horizontal="center" vertical="center"/>
    </xf>
    <xf numFmtId="0" fontId="10" fillId="4" borderId="12" xfId="0" applyFont="1" applyFill="1" applyBorder="1" applyAlignment="1">
      <alignment horizontal="left" indent="2"/>
    </xf>
    <xf numFmtId="0" fontId="10" fillId="4" borderId="13" xfId="0" applyFont="1" applyFill="1" applyBorder="1" applyAlignment="1">
      <alignment horizontal="left" indent="2"/>
    </xf>
    <xf numFmtId="0" fontId="10" fillId="4" borderId="9" xfId="0" applyFont="1" applyFill="1" applyBorder="1" applyAlignment="1">
      <alignment horizontal="left" indent="2"/>
    </xf>
    <xf numFmtId="0" fontId="10" fillId="4" borderId="10" xfId="0" applyFont="1" applyFill="1" applyBorder="1" applyAlignment="1">
      <alignment horizontal="left" indent="2"/>
    </xf>
  </cellXfs>
  <cellStyles count="4">
    <cellStyle name="60% - Ênfase1" xfId="3" builtinId="32"/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Percentual Sugerido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C8-4BAE-8291-268011F5EA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C8-4BAE-8291-268011F5EA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C8-4BAE-8291-268011F5EA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CC8-4BAE-8291-268011F5EA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CC8-4BAE-8291-268011F5EA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CC8-4BAE-8291-268011F5EA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CC8-4BAE-8291-268011F5EA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Planilha1!$B$34:$B$40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  <c:pt idx="6">
                  <c:v>Total</c:v>
                </c:pt>
              </c:strCache>
            </c:strRef>
          </c:cat>
          <c:val>
            <c:numRef>
              <c:f>Planilha1!$C$34:$C$40</c:f>
              <c:numCache>
                <c:formatCode>0%</c:formatCode>
                <c:ptCount val="7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D-4ACD-9BFD-501687EEFD12}"/>
            </c:ext>
          </c:extLst>
        </c:ser>
        <c:ser>
          <c:idx val="1"/>
          <c:order val="1"/>
          <c:tx>
            <c:strRef>
              <c:f>Planilha1!$D$33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CC8-4BAE-8291-268011F5EA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CC8-4BAE-8291-268011F5EA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CC8-4BAE-8291-268011F5EA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CC8-4BAE-8291-268011F5EA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CC8-4BAE-8291-268011F5EA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CC8-4BAE-8291-268011F5EA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CC8-4BAE-8291-268011F5EADB}"/>
              </c:ext>
            </c:extLst>
          </c:dPt>
          <c:cat>
            <c:strRef>
              <c:f>Planilha1!$B$34:$B$40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  <c:pt idx="6">
                  <c:v>Total</c:v>
                </c:pt>
              </c:strCache>
            </c:strRef>
          </c:cat>
          <c:val>
            <c:numRef>
              <c:f>Planilha1!$D$34:$D$40</c:f>
              <c:numCache>
                <c:formatCode>"R$"\ #,##0.00</c:formatCode>
                <c:ptCount val="7"/>
                <c:pt idx="0">
                  <c:v>1250</c:v>
                </c:pt>
                <c:pt idx="1">
                  <c:v>250</c:v>
                </c:pt>
                <c:pt idx="2">
                  <c:v>125</c:v>
                </c:pt>
                <c:pt idx="3">
                  <c:v>125</c:v>
                </c:pt>
                <c:pt idx="4">
                  <c:v>500</c:v>
                </c:pt>
                <c:pt idx="5">
                  <c:v>250</c:v>
                </c:pt>
                <c:pt idx="6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1D-4ACD-9BFD-501687EEF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Projeções em Anos</a:t>
            </a:r>
          </a:p>
        </c:rich>
      </c:tx>
      <c:layout>
        <c:manualLayout>
          <c:xMode val="edge"/>
          <c:yMode val="edge"/>
          <c:x val="0.38302797445440212"/>
          <c:y val="5.833584380621358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698958716646771"/>
          <c:y val="0.17199343755548477"/>
          <c:w val="0.76358552055993001"/>
          <c:h val="0.55709062487396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Planilha1!$C$22</c:f>
              <c:strCache>
                <c:ptCount val="1"/>
                <c:pt idx="0">
                  <c:v>Patrimônio Acumulado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Planilha1!$B$23:$B$27</c:f>
              <c:strCache>
                <c:ptCount val="5"/>
                <c:pt idx="0">
                  <c:v>Quanto em 2 Anos?</c:v>
                </c:pt>
                <c:pt idx="1">
                  <c:v>Quanto em 5 Anos?</c:v>
                </c:pt>
                <c:pt idx="2">
                  <c:v>Quanto em 10 Anos?</c:v>
                </c:pt>
                <c:pt idx="3">
                  <c:v>Quanto em 20 Anos?</c:v>
                </c:pt>
                <c:pt idx="4">
                  <c:v>Quanto em 30 Anos?</c:v>
                </c:pt>
              </c:strCache>
            </c:strRef>
          </c:cat>
          <c:val>
            <c:numRef>
              <c:f>Planilha1!$C$23:$C$27</c:f>
              <c:numCache>
                <c:formatCode>"R$"\ #,##0.00</c:formatCode>
                <c:ptCount val="5"/>
                <c:pt idx="0">
                  <c:v>68069.068244113048</c:v>
                </c:pt>
                <c:pt idx="1">
                  <c:v>209442.2849962191</c:v>
                </c:pt>
                <c:pt idx="2">
                  <c:v>608210.53132543049</c:v>
                </c:pt>
                <c:pt idx="3">
                  <c:v>2812996.0002427013</c:v>
                </c:pt>
                <c:pt idx="4">
                  <c:v>10805424.137511786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0-4399-84F5-8051D609C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260464"/>
        <c:axId val="696829200"/>
      </c:barChart>
      <c:lineChart>
        <c:grouping val="standard"/>
        <c:varyColors val="0"/>
        <c:ser>
          <c:idx val="1"/>
          <c:order val="1"/>
          <c:tx>
            <c:strRef>
              <c:f>Planilha1!$D$22</c:f>
              <c:strCache>
                <c:ptCount val="1"/>
                <c:pt idx="0">
                  <c:v>Dividendos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Planilha1!$B$23:$B$27</c:f>
              <c:strCache>
                <c:ptCount val="5"/>
                <c:pt idx="0">
                  <c:v>Quanto em 2 Anos?</c:v>
                </c:pt>
                <c:pt idx="1">
                  <c:v>Quanto em 5 Anos?</c:v>
                </c:pt>
                <c:pt idx="2">
                  <c:v>Quanto em 10 Anos?</c:v>
                </c:pt>
                <c:pt idx="3">
                  <c:v>Quanto em 20 Anos?</c:v>
                </c:pt>
                <c:pt idx="4">
                  <c:v>Quanto em 30 Anos?</c:v>
                </c:pt>
              </c:strCache>
            </c:strRef>
          </c:cat>
          <c:val>
            <c:numRef>
              <c:f>Planilha1!$D$23:$D$27</c:f>
              <c:numCache>
                <c:formatCode>"R$"\ #,##0.00</c:formatCode>
                <c:ptCount val="5"/>
                <c:pt idx="0">
                  <c:v>605.81470737260611</c:v>
                </c:pt>
                <c:pt idx="1">
                  <c:v>1864.0363364663499</c:v>
                </c:pt>
                <c:pt idx="2">
                  <c:v>5413.0737287963311</c:v>
                </c:pt>
                <c:pt idx="3">
                  <c:v>25035.66440216004</c:v>
                </c:pt>
                <c:pt idx="4">
                  <c:v>96168.274823854896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20-4399-84F5-8051D609C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367648"/>
        <c:axId val="217642192"/>
      </c:lineChart>
      <c:catAx>
        <c:axId val="30626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6829200"/>
        <c:crosses val="autoZero"/>
        <c:auto val="1"/>
        <c:lblAlgn val="ctr"/>
        <c:lblOffset val="100"/>
        <c:noMultiLvlLbl val="0"/>
      </c:catAx>
      <c:valAx>
        <c:axId val="69682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260464"/>
        <c:crosses val="autoZero"/>
        <c:crossBetween val="between"/>
      </c:valAx>
      <c:valAx>
        <c:axId val="217642192"/>
        <c:scaling>
          <c:orientation val="minMax"/>
        </c:scaling>
        <c:delete val="0"/>
        <c:axPos val="r"/>
        <c:numFmt formatCode="&quot;R$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6367648"/>
        <c:crosses val="max"/>
        <c:crossBetween val="between"/>
      </c:valAx>
      <c:catAx>
        <c:axId val="306367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7642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178874744673575"/>
          <c:y val="0.88895525437620404"/>
          <c:w val="0.60999156724951564"/>
          <c:h val="0.1110447456237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9</xdr:col>
      <xdr:colOff>0</xdr:colOff>
      <xdr:row>7</xdr:row>
      <xdr:rowOff>46383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1D92D32-A3A2-4968-9071-838F3E55C5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0" y="0"/>
          <a:ext cx="11529391" cy="1437861"/>
        </a:xfrm>
        <a:prstGeom prst="rect">
          <a:avLst/>
        </a:prstGeom>
      </xdr:spPr>
    </xdr:pic>
    <xdr:clientData/>
  </xdr:twoCellAnchor>
  <xdr:twoCellAnchor>
    <xdr:from>
      <xdr:col>4</xdr:col>
      <xdr:colOff>106680</xdr:colOff>
      <xdr:row>29</xdr:row>
      <xdr:rowOff>0</xdr:rowOff>
    </xdr:from>
    <xdr:to>
      <xdr:col>8</xdr:col>
      <xdr:colOff>990600</xdr:colOff>
      <xdr:row>40</xdr:row>
      <xdr:rowOff>68580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277FCE7-9D6B-BD46-F861-1866AD49B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33132</xdr:colOff>
      <xdr:row>21</xdr:row>
      <xdr:rowOff>0</xdr:rowOff>
    </xdr:from>
    <xdr:to>
      <xdr:col>9</xdr:col>
      <xdr:colOff>0</xdr:colOff>
      <xdr:row>29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BF05FDF-027A-157A-0BA8-2CC5F161F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DDE0-B41C-43B0-9FAC-F7F02A10FEA4}">
  <dimension ref="A1:XFC42"/>
  <sheetViews>
    <sheetView showGridLines="0" showRowColHeaders="0" tabSelected="1" zoomScale="115" zoomScaleNormal="115" workbookViewId="0">
      <selection activeCell="A43" sqref="A43:XFD104857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.6" zeroHeight="1" x14ac:dyDescent="0.3"/>
  <cols>
    <col min="1" max="1" width="8.796875" customWidth="1"/>
    <col min="2" max="2" width="48" customWidth="1"/>
    <col min="3" max="3" width="32.296875" customWidth="1"/>
    <col min="4" max="4" width="12.69921875" bestFit="1" customWidth="1"/>
    <col min="5" max="5" width="11.3984375" customWidth="1"/>
    <col min="6" max="6" width="15.796875" customWidth="1"/>
    <col min="7" max="7" width="7.5" customWidth="1"/>
    <col min="8" max="8" width="11.09765625" customWidth="1"/>
    <col min="9" max="9" width="3.69921875" customWidth="1"/>
    <col min="10" max="16383" width="8.796875" hidden="1"/>
    <col min="16384" max="16384" width="9.765625E-2" hidden="1" customWidth="1"/>
  </cols>
  <sheetData>
    <row r="1" spans="2:4" x14ac:dyDescent="0.3"/>
    <row r="2" spans="2:4" x14ac:dyDescent="0.3"/>
    <row r="3" spans="2:4" x14ac:dyDescent="0.3"/>
    <row r="4" spans="2:4" x14ac:dyDescent="0.3"/>
    <row r="5" spans="2:4" x14ac:dyDescent="0.3"/>
    <row r="6" spans="2:4" x14ac:dyDescent="0.3"/>
    <row r="7" spans="2:4" x14ac:dyDescent="0.3"/>
    <row r="8" spans="2:4" ht="9" customHeight="1" thickBot="1" x14ac:dyDescent="0.35"/>
    <row r="9" spans="2:4" ht="25.8" x14ac:dyDescent="0.3">
      <c r="B9" s="47" t="s">
        <v>13</v>
      </c>
      <c r="C9" s="48"/>
      <c r="D9" s="49"/>
    </row>
    <row r="10" spans="2:4" x14ac:dyDescent="0.3">
      <c r="B10" s="41" t="s">
        <v>14</v>
      </c>
      <c r="C10" s="42"/>
      <c r="D10" s="3">
        <v>5000</v>
      </c>
    </row>
    <row r="11" spans="2:4" x14ac:dyDescent="0.3">
      <c r="B11" s="43" t="s">
        <v>15</v>
      </c>
      <c r="C11" s="44"/>
      <c r="D11" s="4">
        <v>8.8999999999999999E-3</v>
      </c>
    </row>
    <row r="12" spans="2:4" ht="16.2" thickBot="1" x14ac:dyDescent="0.35">
      <c r="B12" s="45" t="s">
        <v>34</v>
      </c>
      <c r="C12" s="46"/>
      <c r="D12" s="5">
        <f>D10*30%</f>
        <v>1500</v>
      </c>
    </row>
    <row r="13" spans="2:4" ht="16.2" thickBot="1" x14ac:dyDescent="0.35"/>
    <row r="14" spans="2:4" ht="16.2" hidden="1" thickBot="1" x14ac:dyDescent="0.35"/>
    <row r="15" spans="2:4" ht="21" customHeight="1" x14ac:dyDescent="0.3">
      <c r="B15" s="50" t="s">
        <v>5</v>
      </c>
      <c r="C15" s="51"/>
      <c r="D15" s="52"/>
    </row>
    <row r="16" spans="2:4" x14ac:dyDescent="0.3">
      <c r="B16" s="41" t="s">
        <v>0</v>
      </c>
      <c r="C16" s="42"/>
      <c r="D16" s="6">
        <v>2500</v>
      </c>
    </row>
    <row r="17" spans="1:4" x14ac:dyDescent="0.3">
      <c r="B17" s="43" t="s">
        <v>1</v>
      </c>
      <c r="C17" s="44"/>
      <c r="D17" s="7">
        <v>5</v>
      </c>
    </row>
    <row r="18" spans="1:4" x14ac:dyDescent="0.3">
      <c r="B18" s="43" t="s">
        <v>2</v>
      </c>
      <c r="C18" s="44"/>
      <c r="D18" s="8">
        <v>1.0789999999999999E-2</v>
      </c>
    </row>
    <row r="19" spans="1:4" x14ac:dyDescent="0.3">
      <c r="B19" s="55" t="s">
        <v>3</v>
      </c>
      <c r="C19" s="56"/>
      <c r="D19" s="9">
        <f>FV(Taxa_mensal,qtd_anos*12,Aporte*-1)</f>
        <v>209442.2849962191</v>
      </c>
    </row>
    <row r="20" spans="1:4" ht="16.2" thickBot="1" x14ac:dyDescent="0.35">
      <c r="B20" s="53" t="s">
        <v>4</v>
      </c>
      <c r="C20" s="54"/>
      <c r="D20" s="10">
        <f>Patrimonio*Rendimento_carteira</f>
        <v>1864.0363364663499</v>
      </c>
    </row>
    <row r="21" spans="1:4" ht="16.2" thickBot="1" x14ac:dyDescent="0.35"/>
    <row r="22" spans="1:4" ht="25.8" x14ac:dyDescent="0.3">
      <c r="B22" s="1" t="s">
        <v>11</v>
      </c>
      <c r="C22" s="40" t="s">
        <v>35</v>
      </c>
      <c r="D22" s="20" t="s">
        <v>12</v>
      </c>
    </row>
    <row r="23" spans="1:4" x14ac:dyDescent="0.3">
      <c r="A23" s="2">
        <v>2</v>
      </c>
      <c r="B23" s="17" t="s">
        <v>6</v>
      </c>
      <c r="C23" s="11">
        <f>FV($D$18,$A23*12,$D$16*-1)</f>
        <v>68069.068244113048</v>
      </c>
      <c r="D23" s="12">
        <f>C23*Rendimento_carteira</f>
        <v>605.81470737260611</v>
      </c>
    </row>
    <row r="24" spans="1:4" x14ac:dyDescent="0.3">
      <c r="A24" s="2">
        <v>5</v>
      </c>
      <c r="B24" s="18" t="s">
        <v>7</v>
      </c>
      <c r="C24" s="13">
        <f>FV($D$18,$A24*12,$D$16*-1)</f>
        <v>209442.2849962191</v>
      </c>
      <c r="D24" s="14">
        <f>C24*Rendimento_carteira</f>
        <v>1864.0363364663499</v>
      </c>
    </row>
    <row r="25" spans="1:4" x14ac:dyDescent="0.3">
      <c r="A25" s="2">
        <v>10</v>
      </c>
      <c r="B25" s="18" t="s">
        <v>8</v>
      </c>
      <c r="C25" s="13">
        <f>FV($D$18,$A25*12,$D$16*-1)</f>
        <v>608210.53132543049</v>
      </c>
      <c r="D25" s="14">
        <f>C25*Rendimento_carteira</f>
        <v>5413.0737287963311</v>
      </c>
    </row>
    <row r="26" spans="1:4" x14ac:dyDescent="0.3">
      <c r="A26" s="2">
        <v>20</v>
      </c>
      <c r="B26" s="18" t="s">
        <v>9</v>
      </c>
      <c r="C26" s="13">
        <f>FV($D$18,$A26*12,$D$16*-1)</f>
        <v>2812996.0002427013</v>
      </c>
      <c r="D26" s="14">
        <f>C26*Rendimento_carteira</f>
        <v>25035.66440216004</v>
      </c>
    </row>
    <row r="27" spans="1:4" ht="16.2" thickBot="1" x14ac:dyDescent="0.35">
      <c r="A27" s="2">
        <v>30</v>
      </c>
      <c r="B27" s="19" t="s">
        <v>10</v>
      </c>
      <c r="C27" s="15">
        <f>FV($D$18,$A27*12,$D$16*-1)</f>
        <v>10805424.137511786</v>
      </c>
      <c r="D27" s="16">
        <f>C27*Rendimento_carteira</f>
        <v>96168.274823854896</v>
      </c>
    </row>
    <row r="28" spans="1:4" x14ac:dyDescent="0.3"/>
    <row r="29" spans="1:4" x14ac:dyDescent="0.3"/>
    <row r="30" spans="1:4" x14ac:dyDescent="0.3">
      <c r="B30" s="26" t="s">
        <v>18</v>
      </c>
      <c r="C30" s="21" t="s">
        <v>31</v>
      </c>
      <c r="D30" s="21"/>
    </row>
    <row r="31" spans="1:4" x14ac:dyDescent="0.3">
      <c r="B31" s="23" t="s">
        <v>17</v>
      </c>
      <c r="C31" s="24">
        <f>Aporte</f>
        <v>2500</v>
      </c>
      <c r="D31" s="25"/>
    </row>
    <row r="32" spans="1:4" x14ac:dyDescent="0.3"/>
    <row r="33" spans="2:4" x14ac:dyDescent="0.3">
      <c r="B33" s="29" t="s">
        <v>21</v>
      </c>
      <c r="C33" s="29" t="s">
        <v>19</v>
      </c>
      <c r="D33" s="29" t="s">
        <v>20</v>
      </c>
    </row>
    <row r="34" spans="2:4" x14ac:dyDescent="0.3">
      <c r="B34" s="27" t="s">
        <v>22</v>
      </c>
      <c r="C34" s="28">
        <f>VLOOKUP($C$30&amp;"-"&amp;B34,'Tabela apoio'!$A:$D,4,FALSE)</f>
        <v>0.5</v>
      </c>
      <c r="D34" s="22">
        <f>C34*$C$31</f>
        <v>1250</v>
      </c>
    </row>
    <row r="35" spans="2:4" x14ac:dyDescent="0.3">
      <c r="B35" s="27" t="s">
        <v>23</v>
      </c>
      <c r="C35" s="28">
        <f>VLOOKUP($C$30&amp;"-"&amp;B35,'Tabela apoio'!$A:$D,4,FALSE)</f>
        <v>0.1</v>
      </c>
      <c r="D35" s="22">
        <f t="shared" ref="D35:D39" si="0">C35*$C$31</f>
        <v>250</v>
      </c>
    </row>
    <row r="36" spans="2:4" x14ac:dyDescent="0.3">
      <c r="B36" s="27" t="s">
        <v>24</v>
      </c>
      <c r="C36" s="28">
        <f>VLOOKUP($C$30&amp;"-"&amp;B36,'Tabela apoio'!$A:$D,4,FALSE)</f>
        <v>0.05</v>
      </c>
      <c r="D36" s="22">
        <f t="shared" si="0"/>
        <v>125</v>
      </c>
    </row>
    <row r="37" spans="2:4" x14ac:dyDescent="0.3">
      <c r="B37" s="27" t="s">
        <v>25</v>
      </c>
      <c r="C37" s="28">
        <f>VLOOKUP($C$30&amp;"-"&amp;B37,'Tabela apoio'!$A:$D,4,FALSE)</f>
        <v>0.05</v>
      </c>
      <c r="D37" s="22">
        <f t="shared" si="0"/>
        <v>125</v>
      </c>
    </row>
    <row r="38" spans="2:4" x14ac:dyDescent="0.3">
      <c r="B38" s="27" t="s">
        <v>26</v>
      </c>
      <c r="C38" s="28">
        <f>VLOOKUP($C$30&amp;"-"&amp;B38,'Tabela apoio'!$A:$D,4,FALSE)</f>
        <v>0.2</v>
      </c>
      <c r="D38" s="22">
        <f t="shared" si="0"/>
        <v>500</v>
      </c>
    </row>
    <row r="39" spans="2:4" x14ac:dyDescent="0.3">
      <c r="B39" s="27" t="s">
        <v>27</v>
      </c>
      <c r="C39" s="28">
        <f>VLOOKUP($C$30&amp;"-"&amp;B39,'Tabela apoio'!$A:$D,4,FALSE)</f>
        <v>0.1</v>
      </c>
      <c r="D39" s="22">
        <f t="shared" si="0"/>
        <v>250</v>
      </c>
    </row>
    <row r="40" spans="2:4" x14ac:dyDescent="0.3">
      <c r="B40" s="31" t="s">
        <v>28</v>
      </c>
      <c r="C40" s="32"/>
      <c r="D40" s="30">
        <f>SUM(D34:D39)</f>
        <v>2500</v>
      </c>
    </row>
    <row r="41" spans="2:4" x14ac:dyDescent="0.3"/>
    <row r="42" spans="2:4" x14ac:dyDescent="0.3"/>
  </sheetData>
  <mergeCells count="10">
    <mergeCell ref="B16:C16"/>
    <mergeCell ref="B17:C17"/>
    <mergeCell ref="B18:C18"/>
    <mergeCell ref="B20:C20"/>
    <mergeCell ref="B19:C19"/>
    <mergeCell ref="B10:C10"/>
    <mergeCell ref="B11:C11"/>
    <mergeCell ref="B12:C12"/>
    <mergeCell ref="B9:D9"/>
    <mergeCell ref="B15:D15"/>
  </mergeCells>
  <dataValidations count="1">
    <dataValidation type="list" allowBlank="1" showInputMessage="1" showErrorMessage="1" sqref="C30" xr:uid="{662D62F6-AD4E-4DF6-8C56-09111D2451D4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89F5-6C64-440D-9E0F-4E74A0B1630C}">
  <dimension ref="A4:D22"/>
  <sheetViews>
    <sheetView workbookViewId="0">
      <selection activeCell="G10" sqref="G10"/>
    </sheetView>
  </sheetViews>
  <sheetFormatPr defaultRowHeight="15.6" x14ac:dyDescent="0.3"/>
  <cols>
    <col min="1" max="1" width="26" bestFit="1" customWidth="1"/>
    <col min="2" max="2" width="11.09765625" bestFit="1" customWidth="1"/>
    <col min="3" max="3" width="17.3984375" bestFit="1" customWidth="1"/>
  </cols>
  <sheetData>
    <row r="4" spans="1:4" x14ac:dyDescent="0.3">
      <c r="A4" s="32" t="s">
        <v>29</v>
      </c>
      <c r="B4" s="32" t="s">
        <v>18</v>
      </c>
      <c r="C4" s="39" t="s">
        <v>32</v>
      </c>
      <c r="D4" s="39" t="s">
        <v>33</v>
      </c>
    </row>
    <row r="5" spans="1:4" x14ac:dyDescent="0.3">
      <c r="A5" t="str">
        <f>B5&amp;"-"&amp;C5</f>
        <v>Conservador-Papel</v>
      </c>
      <c r="B5" t="s">
        <v>16</v>
      </c>
      <c r="C5" s="27" t="s">
        <v>22</v>
      </c>
      <c r="D5" s="28">
        <v>0.3</v>
      </c>
    </row>
    <row r="6" spans="1:4" x14ac:dyDescent="0.3">
      <c r="A6" t="str">
        <f t="shared" ref="A6:A22" si="0">B6&amp;"-"&amp;C6</f>
        <v>Conservador-Tijolo</v>
      </c>
      <c r="B6" t="s">
        <v>16</v>
      </c>
      <c r="C6" s="27" t="s">
        <v>23</v>
      </c>
      <c r="D6" s="28">
        <v>0.5</v>
      </c>
    </row>
    <row r="7" spans="1:4" x14ac:dyDescent="0.3">
      <c r="A7" t="str">
        <f t="shared" si="0"/>
        <v>Conservador-Hibridos</v>
      </c>
      <c r="B7" t="s">
        <v>16</v>
      </c>
      <c r="C7" s="27" t="s">
        <v>24</v>
      </c>
      <c r="D7" s="28">
        <v>0.1</v>
      </c>
    </row>
    <row r="8" spans="1:4" x14ac:dyDescent="0.3">
      <c r="A8" t="str">
        <f t="shared" si="0"/>
        <v>Conservador-Fofs</v>
      </c>
      <c r="B8" t="s">
        <v>16</v>
      </c>
      <c r="C8" s="27" t="s">
        <v>25</v>
      </c>
      <c r="D8" s="28">
        <v>0.1</v>
      </c>
    </row>
    <row r="9" spans="1:4" x14ac:dyDescent="0.3">
      <c r="A9" t="str">
        <f t="shared" si="0"/>
        <v>Conservador-Desenvolvimento</v>
      </c>
      <c r="B9" t="s">
        <v>16</v>
      </c>
      <c r="C9" s="27" t="s">
        <v>26</v>
      </c>
      <c r="D9" s="28">
        <v>0</v>
      </c>
    </row>
    <row r="10" spans="1:4" ht="16.2" thickBot="1" x14ac:dyDescent="0.35">
      <c r="A10" s="33" t="str">
        <f t="shared" si="0"/>
        <v>Conservador-Hotelarias</v>
      </c>
      <c r="B10" s="33" t="s">
        <v>16</v>
      </c>
      <c r="C10" s="34" t="s">
        <v>27</v>
      </c>
      <c r="D10" s="35">
        <v>0</v>
      </c>
    </row>
    <row r="11" spans="1:4" x14ac:dyDescent="0.3">
      <c r="A11" s="36" t="str">
        <f t="shared" si="0"/>
        <v>Moderado-Papel</v>
      </c>
      <c r="B11" s="36" t="s">
        <v>30</v>
      </c>
      <c r="C11" s="37" t="s">
        <v>22</v>
      </c>
      <c r="D11" s="38">
        <v>0.32</v>
      </c>
    </row>
    <row r="12" spans="1:4" x14ac:dyDescent="0.3">
      <c r="A12" t="str">
        <f t="shared" si="0"/>
        <v>Moderado-Tijolo</v>
      </c>
      <c r="B12" t="s">
        <v>30</v>
      </c>
      <c r="C12" s="27" t="s">
        <v>23</v>
      </c>
      <c r="D12" s="28">
        <v>0.35</v>
      </c>
    </row>
    <row r="13" spans="1:4" x14ac:dyDescent="0.3">
      <c r="A13" t="str">
        <f t="shared" si="0"/>
        <v>Moderado-Hibridos</v>
      </c>
      <c r="B13" t="s">
        <v>30</v>
      </c>
      <c r="C13" s="27" t="s">
        <v>24</v>
      </c>
      <c r="D13" s="28">
        <v>0.08</v>
      </c>
    </row>
    <row r="14" spans="1:4" x14ac:dyDescent="0.3">
      <c r="A14" t="str">
        <f t="shared" si="0"/>
        <v>Moderado-Fofs</v>
      </c>
      <c r="B14" t="s">
        <v>30</v>
      </c>
      <c r="C14" s="27" t="s">
        <v>25</v>
      </c>
      <c r="D14" s="28">
        <v>0.05</v>
      </c>
    </row>
    <row r="15" spans="1:4" x14ac:dyDescent="0.3">
      <c r="A15" t="str">
        <f t="shared" si="0"/>
        <v>Moderado-Desenvolvimento</v>
      </c>
      <c r="B15" t="s">
        <v>30</v>
      </c>
      <c r="C15" s="27" t="s">
        <v>26</v>
      </c>
      <c r="D15" s="28">
        <v>0.1</v>
      </c>
    </row>
    <row r="16" spans="1:4" ht="16.2" thickBot="1" x14ac:dyDescent="0.35">
      <c r="A16" s="33" t="str">
        <f t="shared" si="0"/>
        <v>Moderado-Hotelarias</v>
      </c>
      <c r="B16" s="33" t="s">
        <v>30</v>
      </c>
      <c r="C16" s="34" t="s">
        <v>27</v>
      </c>
      <c r="D16" s="35">
        <v>0.1</v>
      </c>
    </row>
    <row r="17" spans="1:4" x14ac:dyDescent="0.3">
      <c r="A17" t="str">
        <f t="shared" si="0"/>
        <v>Agressivo-Papel</v>
      </c>
      <c r="B17" t="s">
        <v>31</v>
      </c>
      <c r="C17" s="27" t="s">
        <v>22</v>
      </c>
      <c r="D17" s="28">
        <v>0.5</v>
      </c>
    </row>
    <row r="18" spans="1:4" x14ac:dyDescent="0.3">
      <c r="A18" t="str">
        <f t="shared" si="0"/>
        <v>Agressivo-Tijolo</v>
      </c>
      <c r="B18" t="s">
        <v>31</v>
      </c>
      <c r="C18" s="27" t="s">
        <v>23</v>
      </c>
      <c r="D18" s="28">
        <v>0.1</v>
      </c>
    </row>
    <row r="19" spans="1:4" x14ac:dyDescent="0.3">
      <c r="A19" t="str">
        <f t="shared" si="0"/>
        <v>Agressivo-Hibridos</v>
      </c>
      <c r="B19" t="s">
        <v>31</v>
      </c>
      <c r="C19" s="27" t="s">
        <v>24</v>
      </c>
      <c r="D19" s="28">
        <v>0.05</v>
      </c>
    </row>
    <row r="20" spans="1:4" x14ac:dyDescent="0.3">
      <c r="A20" t="str">
        <f t="shared" si="0"/>
        <v>Agressivo-Fofs</v>
      </c>
      <c r="B20" t="s">
        <v>31</v>
      </c>
      <c r="C20" s="27" t="s">
        <v>25</v>
      </c>
      <c r="D20" s="28">
        <v>0.05</v>
      </c>
    </row>
    <row r="21" spans="1:4" x14ac:dyDescent="0.3">
      <c r="A21" t="str">
        <f t="shared" si="0"/>
        <v>Agressivo-Desenvolvimento</v>
      </c>
      <c r="B21" t="s">
        <v>31</v>
      </c>
      <c r="C21" s="27" t="s">
        <v>26</v>
      </c>
      <c r="D21" s="28">
        <v>0.2</v>
      </c>
    </row>
    <row r="22" spans="1:4" x14ac:dyDescent="0.3">
      <c r="A22" t="str">
        <f t="shared" si="0"/>
        <v>Agressivo-Hotelarias</v>
      </c>
      <c r="B22" t="s">
        <v>31</v>
      </c>
      <c r="C22" s="27" t="s">
        <v>27</v>
      </c>
      <c r="D22" s="2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Tabela 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Barbosa</dc:creator>
  <cp:lastModifiedBy>Elton Barbosa</cp:lastModifiedBy>
  <dcterms:created xsi:type="dcterms:W3CDTF">2026-09-26T18:24:49Z</dcterms:created>
  <dcterms:modified xsi:type="dcterms:W3CDTF">2026-09-28T23:33:10Z</dcterms:modified>
</cp:coreProperties>
</file>